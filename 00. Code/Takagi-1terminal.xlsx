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4wd0r\TFG-Fault-Location\00. Code\"/>
    </mc:Choice>
  </mc:AlternateContent>
  <xr:revisionPtr revIDLastSave="0" documentId="13_ncr:1_{8D2C333F-96AB-4B09-B7AF-B60B013DEE38}" xr6:coauthVersionLast="47" xr6:coauthVersionMax="47" xr10:uidLastSave="{00000000-0000-0000-0000-000000000000}"/>
  <bookViews>
    <workbookView xWindow="-108" yWindow="-108" windowWidth="23256" windowHeight="14016" xr2:uid="{E5A8D56F-452A-4648-AE5D-A4484E0697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F22" i="1"/>
  <c r="F21" i="1"/>
  <c r="F19" i="1"/>
  <c r="F18" i="1"/>
  <c r="F17" i="1"/>
  <c r="F14" i="1"/>
  <c r="F15" i="1"/>
  <c r="F13" i="1"/>
  <c r="E23" i="1"/>
  <c r="E22" i="1"/>
  <c r="E21" i="1"/>
  <c r="E19" i="1"/>
  <c r="E18" i="1"/>
  <c r="E17" i="1"/>
  <c r="E15" i="1"/>
  <c r="E14" i="1"/>
  <c r="E13" i="1"/>
  <c r="F4" i="1"/>
  <c r="F5" i="1"/>
  <c r="F6" i="1"/>
  <c r="F7" i="1"/>
  <c r="F8" i="1"/>
  <c r="F3" i="1"/>
  <c r="E4" i="1"/>
  <c r="E5" i="1"/>
  <c r="E6" i="1"/>
  <c r="E7" i="1"/>
  <c r="E8" i="1"/>
  <c r="E3" i="1"/>
</calcChain>
</file>

<file path=xl/sharedStrings.xml><?xml version="1.0" encoding="utf-8"?>
<sst xmlns="http://schemas.openxmlformats.org/spreadsheetml/2006/main" count="19" uniqueCount="15">
  <si>
    <t>1F-T</t>
  </si>
  <si>
    <t>2F-T</t>
  </si>
  <si>
    <t>3F-T</t>
  </si>
  <si>
    <t>% da Linha Calculado</t>
  </si>
  <si>
    <t>% da Linha Simulado</t>
  </si>
  <si>
    <t>Método de Takagi - 1 terminal</t>
  </si>
  <si>
    <t>Erro em %</t>
  </si>
  <si>
    <t>Erro em km</t>
  </si>
  <si>
    <t>Método de Takagi</t>
  </si>
  <si>
    <t>Simulado</t>
  </si>
  <si>
    <t>Calculado</t>
  </si>
  <si>
    <t>Monofásico-Terra</t>
  </si>
  <si>
    <t>Bifásico-Terra</t>
  </si>
  <si>
    <t>Trifásico-Terra</t>
  </si>
  <si>
    <t>Erro em metros 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</si>
</sst>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10" fontId="0" fillId="0" borderId="1" xfId="1" applyNumberFormat="1" applyFont="1" applyBorder="1"/>
    <xf numFmtId="10" fontId="0" fillId="0" borderId="1" xfId="0" applyNumberFormat="1" applyBorder="1"/>
    <xf numFmtId="2" fontId="0" fillId="0" borderId="1" xfId="0" applyNumberFormat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/>
    </xf>
    <xf numFmtId="172" fontId="0" fillId="0" borderId="1" xfId="0" applyNumberForma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55F73-86F5-44ED-87A6-DA0705BFC4D2}">
  <dimension ref="B1:F23"/>
  <sheetViews>
    <sheetView tabSelected="1" topLeftCell="A4" workbookViewId="0">
      <selection activeCell="I17" sqref="I17"/>
    </sheetView>
  </sheetViews>
  <sheetFormatPr defaultRowHeight="14.4" x14ac:dyDescent="0.3"/>
  <cols>
    <col min="3" max="3" width="17.44140625" bestFit="1" customWidth="1"/>
    <col min="4" max="4" width="18.21875" bestFit="1" customWidth="1"/>
    <col min="5" max="5" width="9.109375" bestFit="1" customWidth="1"/>
    <col min="6" max="6" width="16.33203125" bestFit="1" customWidth="1"/>
  </cols>
  <sheetData>
    <row r="1" spans="2:6" x14ac:dyDescent="0.3">
      <c r="B1" s="11" t="s">
        <v>5</v>
      </c>
      <c r="C1" s="12"/>
      <c r="D1" s="12"/>
      <c r="E1" s="13"/>
      <c r="F1" s="7"/>
    </row>
    <row r="2" spans="2:6" x14ac:dyDescent="0.3">
      <c r="B2" s="1"/>
      <c r="C2" s="1" t="s">
        <v>4</v>
      </c>
      <c r="D2" s="1" t="s">
        <v>3</v>
      </c>
      <c r="E2" s="1" t="s">
        <v>6</v>
      </c>
      <c r="F2" s="2" t="s">
        <v>7</v>
      </c>
    </row>
    <row r="3" spans="2:6" x14ac:dyDescent="0.3">
      <c r="B3" s="2" t="s">
        <v>0</v>
      </c>
      <c r="C3" s="3">
        <v>0.5</v>
      </c>
      <c r="D3" s="4">
        <v>0.50219999999999998</v>
      </c>
      <c r="E3" s="5">
        <f>D3-C3</f>
        <v>2.1999999999999797E-3</v>
      </c>
      <c r="F3" s="6">
        <f>E3*223.3</f>
        <v>0.49125999999999548</v>
      </c>
    </row>
    <row r="4" spans="2:6" x14ac:dyDescent="0.3">
      <c r="B4" s="2" t="s">
        <v>0</v>
      </c>
      <c r="C4" s="3">
        <v>1</v>
      </c>
      <c r="D4" s="4">
        <v>1.0088999999999999</v>
      </c>
      <c r="E4" s="5">
        <f t="shared" ref="E4:E8" si="0">D4-C4</f>
        <v>8.899999999999908E-3</v>
      </c>
      <c r="F4" s="6">
        <f t="shared" ref="F4:F8" si="1">E4*223.3</f>
        <v>1.9873699999999797</v>
      </c>
    </row>
    <row r="5" spans="2:6" x14ac:dyDescent="0.3">
      <c r="B5" s="2" t="s">
        <v>1</v>
      </c>
      <c r="C5" s="3">
        <v>0.5</v>
      </c>
      <c r="D5" s="4">
        <v>0.50056</v>
      </c>
      <c r="E5" s="5">
        <f t="shared" si="0"/>
        <v>5.6000000000000494E-4</v>
      </c>
      <c r="F5" s="6">
        <f t="shared" si="1"/>
        <v>0.1250480000000011</v>
      </c>
    </row>
    <row r="6" spans="2:6" x14ac:dyDescent="0.3">
      <c r="B6" s="2" t="s">
        <v>1</v>
      </c>
      <c r="C6" s="3">
        <v>1</v>
      </c>
      <c r="D6" s="4">
        <v>1.0176144806409599</v>
      </c>
      <c r="E6" s="5">
        <f t="shared" si="0"/>
        <v>1.761448064095994E-2</v>
      </c>
      <c r="F6" s="6">
        <f t="shared" si="1"/>
        <v>3.9333135271263546</v>
      </c>
    </row>
    <row r="7" spans="2:6" x14ac:dyDescent="0.3">
      <c r="B7" s="2" t="s">
        <v>2</v>
      </c>
      <c r="C7" s="3">
        <v>0.5</v>
      </c>
      <c r="D7" s="4">
        <v>0.50229999999999997</v>
      </c>
      <c r="E7" s="5">
        <f t="shared" si="0"/>
        <v>2.2999999999999687E-3</v>
      </c>
      <c r="F7" s="6">
        <f t="shared" si="1"/>
        <v>0.513589999999993</v>
      </c>
    </row>
    <row r="8" spans="2:6" x14ac:dyDescent="0.3">
      <c r="B8" s="2" t="s">
        <v>2</v>
      </c>
      <c r="C8" s="3">
        <v>1</v>
      </c>
      <c r="D8" s="4">
        <v>1.0239</v>
      </c>
      <c r="E8" s="5">
        <f t="shared" si="0"/>
        <v>2.3900000000000032E-2</v>
      </c>
      <c r="F8" s="6">
        <f t="shared" si="1"/>
        <v>5.3368700000000073</v>
      </c>
    </row>
    <row r="10" spans="2:6" x14ac:dyDescent="0.3">
      <c r="C10" s="14" t="s">
        <v>8</v>
      </c>
      <c r="D10" s="14"/>
      <c r="E10" s="14"/>
      <c r="F10" s="14"/>
    </row>
    <row r="11" spans="2:6" x14ac:dyDescent="0.3">
      <c r="C11" s="8" t="s">
        <v>9</v>
      </c>
      <c r="D11" s="8" t="s">
        <v>10</v>
      </c>
      <c r="E11" s="8" t="s">
        <v>6</v>
      </c>
      <c r="F11" s="8" t="s">
        <v>14</v>
      </c>
    </row>
    <row r="12" spans="2:6" x14ac:dyDescent="0.3">
      <c r="C12" s="17" t="s">
        <v>11</v>
      </c>
      <c r="D12" s="18"/>
      <c r="E12" s="18"/>
      <c r="F12" s="19"/>
    </row>
    <row r="13" spans="2:6" x14ac:dyDescent="0.3">
      <c r="C13" s="9">
        <v>0.5</v>
      </c>
      <c r="D13" s="10">
        <v>0.49990000000000001</v>
      </c>
      <c r="E13" s="20">
        <f>ABS(C13-D13)</f>
        <v>9.9999999999988987E-5</v>
      </c>
      <c r="F13" s="21">
        <f>E13*76.176*10^3</f>
        <v>7.617599999999161</v>
      </c>
    </row>
    <row r="14" spans="2:6" x14ac:dyDescent="0.3">
      <c r="C14" s="9">
        <v>0.7</v>
      </c>
      <c r="D14" s="10">
        <v>0.70020000000000004</v>
      </c>
      <c r="E14" s="20">
        <f t="shared" ref="E14:E15" si="2">ABS(C14-D14)</f>
        <v>2.00000000000089E-4</v>
      </c>
      <c r="F14" s="21">
        <f t="shared" ref="F14:F15" si="3">E14*76.176*10^3</f>
        <v>15.235200000006779</v>
      </c>
    </row>
    <row r="15" spans="2:6" x14ac:dyDescent="0.3">
      <c r="C15" s="16">
        <v>1</v>
      </c>
      <c r="D15" s="10">
        <v>1.0001</v>
      </c>
      <c r="E15" s="20">
        <f>ABS(C15-D15)</f>
        <v>9.9999999999988987E-5</v>
      </c>
      <c r="F15" s="21">
        <f t="shared" si="3"/>
        <v>7.617599999999161</v>
      </c>
    </row>
    <row r="16" spans="2:6" x14ac:dyDescent="0.3">
      <c r="C16" s="15" t="s">
        <v>12</v>
      </c>
      <c r="D16" s="15"/>
      <c r="E16" s="15"/>
      <c r="F16" s="15"/>
    </row>
    <row r="17" spans="3:6" x14ac:dyDescent="0.3">
      <c r="C17" s="9">
        <v>0.5</v>
      </c>
      <c r="D17" s="10">
        <v>0.50080000000000002</v>
      </c>
      <c r="E17" s="20">
        <f>ABS(C17-D17)</f>
        <v>8.0000000000002292E-4</v>
      </c>
      <c r="F17" s="21">
        <f>E17*76.176*10^3</f>
        <v>60.940800000001744</v>
      </c>
    </row>
    <row r="18" spans="3:6" x14ac:dyDescent="0.3">
      <c r="C18" s="9">
        <v>0.7</v>
      </c>
      <c r="D18" s="10">
        <v>0.69969999999999999</v>
      </c>
      <c r="E18" s="20">
        <f t="shared" ref="E18" si="4">ABS(C18-D18)</f>
        <v>2.9999999999996696E-4</v>
      </c>
      <c r="F18" s="21">
        <f t="shared" ref="F18:F19" si="5">E18*76.176*10^3</f>
        <v>22.852799999997483</v>
      </c>
    </row>
    <row r="19" spans="3:6" x14ac:dyDescent="0.3">
      <c r="C19" s="9">
        <v>1</v>
      </c>
      <c r="D19" s="10">
        <v>0.99939999999999996</v>
      </c>
      <c r="E19" s="20">
        <f>ABS(C19-D19)</f>
        <v>6.0000000000004494E-4</v>
      </c>
      <c r="F19" s="21">
        <f t="shared" si="5"/>
        <v>45.705600000003429</v>
      </c>
    </row>
    <row r="20" spans="3:6" x14ac:dyDescent="0.3">
      <c r="C20" s="15" t="s">
        <v>13</v>
      </c>
      <c r="D20" s="15"/>
      <c r="E20" s="15"/>
      <c r="F20" s="15"/>
    </row>
    <row r="21" spans="3:6" x14ac:dyDescent="0.3">
      <c r="C21" s="9">
        <v>0.5</v>
      </c>
      <c r="D21" s="10">
        <v>0.50029999999999997</v>
      </c>
      <c r="E21" s="20">
        <f>ABS(C21-D21)</f>
        <v>2.9999999999996696E-4</v>
      </c>
      <c r="F21" s="21">
        <f>E21*76.176*10^3</f>
        <v>22.852799999997483</v>
      </c>
    </row>
    <row r="22" spans="3:6" x14ac:dyDescent="0.3">
      <c r="C22" s="9">
        <v>0.7</v>
      </c>
      <c r="D22" s="10">
        <v>0.7006</v>
      </c>
      <c r="E22" s="20">
        <f t="shared" ref="E22" si="6">ABS(C22-D22)</f>
        <v>6.0000000000004494E-4</v>
      </c>
      <c r="F22" s="21">
        <f t="shared" ref="F22:F23" si="7">E22*76.176*10^3</f>
        <v>45.705600000003429</v>
      </c>
    </row>
    <row r="23" spans="3:6" x14ac:dyDescent="0.3">
      <c r="C23" s="9">
        <v>1</v>
      </c>
      <c r="D23" s="10">
        <v>1.0004</v>
      </c>
      <c r="E23" s="20">
        <f>ABS(C23-D23)</f>
        <v>3.9999999999995595E-4</v>
      </c>
      <c r="F23" s="21">
        <f t="shared" si="7"/>
        <v>30.470399999996644</v>
      </c>
    </row>
  </sheetData>
  <mergeCells count="5">
    <mergeCell ref="B1:E1"/>
    <mergeCell ref="C10:F10"/>
    <mergeCell ref="C16:F16"/>
    <mergeCell ref="C12:F12"/>
    <mergeCell ref="C20:F20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Alves, Vinicius Ferreira (RC-BR SI EA S SO TL&amp;PRJ)</dc:creator>
  <cp:lastModifiedBy>Alves, Vinicius Ferreira (RC-BR SI EA S SO TL&amp;PRJ)</cp:lastModifiedBy>
  <dcterms:created xsi:type="dcterms:W3CDTF">2024-10-13T22:17:26Z</dcterms:created>
  <dcterms:modified xsi:type="dcterms:W3CDTF">2024-11-03T20:43:29Z</dcterms:modified>
</cp:coreProperties>
</file>